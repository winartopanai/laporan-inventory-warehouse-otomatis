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k MS Excel\"/>
    </mc:Choice>
  </mc:AlternateContent>
  <xr:revisionPtr revIDLastSave="0" documentId="13_ncr:1_{67EE4F6F-89DA-4A83-827A-8742D0A712C2}" xr6:coauthVersionLast="47" xr6:coauthVersionMax="47" xr10:uidLastSave="{00000000-0000-0000-0000-000000000000}"/>
  <bookViews>
    <workbookView xWindow="-120" yWindow="480" windowWidth="20730" windowHeight="11160" activeTab="2" xr2:uid="{9FC006DF-70C2-4548-A074-1F687DC741A4}"/>
  </bookViews>
  <sheets>
    <sheet name="Pivot" sheetId="4" r:id="rId1"/>
    <sheet name="Daftar Rekap Barang" sheetId="1" r:id="rId2"/>
    <sheet name="Dashboard" sheetId="6" r:id="rId3"/>
    <sheet name="Barang Masuk" sheetId="2" r:id="rId4"/>
    <sheet name="Barang Keluar" sheetId="3" r:id="rId5"/>
  </sheets>
  <calcPr calcId="18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6" l="1"/>
  <c r="B5" i="6"/>
  <c r="B3" i="6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" i="3"/>
  <c r="C3" i="3"/>
  <c r="C4" i="3"/>
  <c r="C5" i="3"/>
  <c r="G10" i="1" s="1"/>
  <c r="C6" i="3"/>
  <c r="G19" i="1" s="1"/>
  <c r="H19" i="1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" i="3"/>
  <c r="G4" i="1"/>
  <c r="H4" i="1" s="1"/>
  <c r="G7" i="1"/>
  <c r="H7" i="1" s="1"/>
  <c r="G23" i="1"/>
  <c r="H23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  <c r="G3" i="2"/>
  <c r="G4" i="2"/>
  <c r="F3" i="2"/>
  <c r="F4" i="2"/>
  <c r="D4" i="2"/>
  <c r="D3" i="2"/>
  <c r="G2" i="2"/>
  <c r="F2" i="2"/>
  <c r="D2" i="2"/>
  <c r="G3" i="1" l="1"/>
  <c r="H3" i="1" s="1"/>
  <c r="G15" i="1"/>
  <c r="H15" i="1" s="1"/>
  <c r="G22" i="1"/>
  <c r="G11" i="1"/>
  <c r="H11" i="1" s="1"/>
  <c r="G18" i="1"/>
  <c r="H18" i="1" s="1"/>
  <c r="G6" i="1"/>
  <c r="G21" i="1"/>
  <c r="H21" i="1" s="1"/>
  <c r="G17" i="1"/>
  <c r="H17" i="1" s="1"/>
  <c r="G13" i="1"/>
  <c r="G9" i="1"/>
  <c r="H9" i="1" s="1"/>
  <c r="G5" i="1"/>
  <c r="H5" i="1" s="1"/>
  <c r="G14" i="1"/>
  <c r="H14" i="1" s="1"/>
  <c r="G2" i="1"/>
  <c r="G20" i="1"/>
  <c r="H20" i="1" s="1"/>
  <c r="G16" i="1"/>
  <c r="H16" i="1" s="1"/>
  <c r="G12" i="1"/>
  <c r="H12" i="1" s="1"/>
  <c r="G8" i="1"/>
  <c r="H8" i="1" s="1"/>
  <c r="H6" i="1"/>
  <c r="H22" i="1"/>
  <c r="H10" i="1"/>
  <c r="H13" i="1"/>
  <c r="H2" i="1"/>
</calcChain>
</file>

<file path=xl/sharedStrings.xml><?xml version="1.0" encoding="utf-8"?>
<sst xmlns="http://schemas.openxmlformats.org/spreadsheetml/2006/main" count="150" uniqueCount="96">
  <si>
    <t>Kode Barang</t>
  </si>
  <si>
    <t>Nama Barang</t>
  </si>
  <si>
    <t>Kategori</t>
  </si>
  <si>
    <t>Oli &amp; Pelumas</t>
  </si>
  <si>
    <t>Sarung Tangan Safety</t>
  </si>
  <si>
    <t>Tanggal</t>
  </si>
  <si>
    <t>Keterangan</t>
  </si>
  <si>
    <t>SP-ENG-001</t>
  </si>
  <si>
    <t>Oil Filter CAT 320D</t>
  </si>
  <si>
    <t>Sparepart Engine</t>
  </si>
  <si>
    <t>Filter oli excavator</t>
  </si>
  <si>
    <t>SP-ENG-002</t>
  </si>
  <si>
    <t>Fuel Filter Komatsu PC200</t>
  </si>
  <si>
    <t>Filter solar</t>
  </si>
  <si>
    <t>SP-ENG-003</t>
  </si>
  <si>
    <t>Air Filter Primary</t>
  </si>
  <si>
    <t>Filter udara utama</t>
  </si>
  <si>
    <t>SP-HYD-001</t>
  </si>
  <si>
    <t>Hydraulic Hose 1 Inch</t>
  </si>
  <si>
    <t>Sparepart Hydraulic</t>
  </si>
  <si>
    <t>Selang hidrolik</t>
  </si>
  <si>
    <t>SP-TRK-001</t>
  </si>
  <si>
    <t>Track Roller D85</t>
  </si>
  <si>
    <t>Sparepart Undercarriage</t>
  </si>
  <si>
    <t>Roller bulldozer</t>
  </si>
  <si>
    <t>OIL-ENG-001</t>
  </si>
  <si>
    <t>Engine Oil 15W40</t>
  </si>
  <si>
    <t>Oli mesin diesel</t>
  </si>
  <si>
    <t>OIL-HYD-001</t>
  </si>
  <si>
    <t>Hydraulic Oil ISO 68</t>
  </si>
  <si>
    <t>Oli hidrolik</t>
  </si>
  <si>
    <t>OIL-GRE-001</t>
  </si>
  <si>
    <t>Grease EP2</t>
  </si>
  <si>
    <t>Gemuk alat berat</t>
  </si>
  <si>
    <t>OIL-GEA-001</t>
  </si>
  <si>
    <t>Gear Oil SAE 90</t>
  </si>
  <si>
    <t>Oli gardan</t>
  </si>
  <si>
    <t>SAF-HELM-001</t>
  </si>
  <si>
    <t>Safety Helmet</t>
  </si>
  <si>
    <t>Safety (K3)</t>
  </si>
  <si>
    <t>Helm proyek</t>
  </si>
  <si>
    <t>SAF-VEST-001</t>
  </si>
  <si>
    <t>Safety Vest</t>
  </si>
  <si>
    <t>Rompi reflektif</t>
  </si>
  <si>
    <t>SAF-BOOT-001</t>
  </si>
  <si>
    <t>Safety Shoes</t>
  </si>
  <si>
    <t>Sepatu safety</t>
  </si>
  <si>
    <t>SAF-MASK-001</t>
  </si>
  <si>
    <t>Masker Respirator</t>
  </si>
  <si>
    <t>Masker debu tambang</t>
  </si>
  <si>
    <t>SAF-GLV-001</t>
  </si>
  <si>
    <t>Gloves</t>
  </si>
  <si>
    <t>ELE-CBL-001</t>
  </si>
  <si>
    <t>Kabel NYY 3x2.5mm</t>
  </si>
  <si>
    <t>Electrical</t>
  </si>
  <si>
    <t>Kabel listrik</t>
  </si>
  <si>
    <t>ELE-MCB-001</t>
  </si>
  <si>
    <t>MCB 3 Phase 32A</t>
  </si>
  <si>
    <t>Mini circuit breaker</t>
  </si>
  <si>
    <t>ELE-LMP-001</t>
  </si>
  <si>
    <t>Lampu LED Industrial</t>
  </si>
  <si>
    <t>Lampu area tambang</t>
  </si>
  <si>
    <t>INS-PRS-001</t>
  </si>
  <si>
    <t>Pressure Gauge</t>
  </si>
  <si>
    <t>Instrument</t>
  </si>
  <si>
    <t>Alat ukur tekanan</t>
  </si>
  <si>
    <t>CON-BLT-001</t>
  </si>
  <si>
    <t>Baut 12mm</t>
  </si>
  <si>
    <t>Consumable</t>
  </si>
  <si>
    <t>Baut baja</t>
  </si>
  <si>
    <t>CON-NUT-001</t>
  </si>
  <si>
    <t>Mur 12mm</t>
  </si>
  <si>
    <t>Mur baja</t>
  </si>
  <si>
    <t>CON-WEL-001</t>
  </si>
  <si>
    <t>Kawat Las LB52</t>
  </si>
  <si>
    <t>Welding rod</t>
  </si>
  <si>
    <t>CON-FUEL-001</t>
  </si>
  <si>
    <t>Solar Industri</t>
  </si>
  <si>
    <t>Bahan bakar operasional</t>
  </si>
  <si>
    <t>Stok Awal</t>
  </si>
  <si>
    <t>Barang masuk</t>
  </si>
  <si>
    <t>Barang Keluar</t>
  </si>
  <si>
    <t>Stok Akhir</t>
  </si>
  <si>
    <t>Kod e Barang</t>
  </si>
  <si>
    <t>Jumlah barang</t>
  </si>
  <si>
    <t>01/032026</t>
  </si>
  <si>
    <t>Row Labels</t>
  </si>
  <si>
    <t>Grand Total</t>
  </si>
  <si>
    <t>Sum of Stok Awal</t>
  </si>
  <si>
    <t>Sum of Barang masuk</t>
  </si>
  <si>
    <t>Sum of Barang Keluar</t>
  </si>
  <si>
    <t>Sum of Stok Akhir</t>
  </si>
  <si>
    <t>STOK TERSEDIA</t>
  </si>
  <si>
    <t>STOK MASUK</t>
  </si>
  <si>
    <t>STOK KELUAR</t>
  </si>
  <si>
    <t>DASHBOARD INVENTORY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</si>
</sst>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wrapText="1"/>
    </xf>
    <xf numFmtId="0" fontId="1" fillId="9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Dashboard!$A$3:$A$8</c:f>
              <c:strCache>
                <c:ptCount val="5"/>
                <c:pt idx="0">
                  <c:v>STOK TERSEDIA</c:v>
                </c:pt>
                <c:pt idx="2">
                  <c:v>STOK MASUK</c:v>
                </c:pt>
                <c:pt idx="4">
                  <c:v>STOK KELUAR</c:v>
                </c:pt>
              </c:strCache>
            </c:strRef>
          </c:cat>
          <c:val>
            <c:numRef>
              <c:f>Dashboard!$B$3:$B$8</c:f>
              <c:numCache>
                <c:formatCode>General</c:formatCode>
                <c:ptCount val="6"/>
                <c:pt idx="0">
                  <c:v>273</c:v>
                </c:pt>
                <c:pt idx="2">
                  <c:v>90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8-404E-8F41-55BB058A5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13360"/>
        <c:axId val="144915160"/>
      </c:barChart>
      <c:catAx>
        <c:axId val="14491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5160"/>
        <c:crosses val="autoZero"/>
        <c:auto val="1"/>
        <c:lblAlgn val="ctr"/>
        <c:lblOffset val="100"/>
        <c:noMultiLvlLbl val="0"/>
      </c:catAx>
      <c:valAx>
        <c:axId val="14491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33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20-45A7-B53C-9DC9584D41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20-45A7-B53C-9DC9584D41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20-45A7-B53C-9DC9584D41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20-45A7-B53C-9DC9584D41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20-45A7-B53C-9DC9584D412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20-45A7-B53C-9DC9584D41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Dashboard!$A$3:$A$8</c:f>
              <c:strCache>
                <c:ptCount val="5"/>
                <c:pt idx="0">
                  <c:v>STOK TERSEDIA</c:v>
                </c:pt>
                <c:pt idx="2">
                  <c:v>STOK MASUK</c:v>
                </c:pt>
                <c:pt idx="4">
                  <c:v>STOK KELUAR</c:v>
                </c:pt>
              </c:strCache>
            </c:strRef>
          </c:cat>
          <c:val>
            <c:numRef>
              <c:f>Dashboard!$B$3:$B$8</c:f>
              <c:numCache>
                <c:formatCode>General</c:formatCode>
                <c:ptCount val="6"/>
                <c:pt idx="0">
                  <c:v>273</c:v>
                </c:pt>
                <c:pt idx="2">
                  <c:v>90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C-4BD2-A66F-99F40D06290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Dashboard!$A$3:$A$8</c:f>
              <c:strCache>
                <c:ptCount val="5"/>
                <c:pt idx="0">
                  <c:v>STOK TERSEDIA</c:v>
                </c:pt>
                <c:pt idx="2">
                  <c:v>STOK MASUK</c:v>
                </c:pt>
                <c:pt idx="4">
                  <c:v>STOK KELUAR</c:v>
                </c:pt>
              </c:strCache>
            </c:strRef>
          </c:cat>
          <c:val>
            <c:numRef>
              <c:f>Dashboard!$B$3:$B$8</c:f>
              <c:numCache>
                <c:formatCode>General</c:formatCode>
                <c:ptCount val="6"/>
                <c:pt idx="0">
                  <c:v>273</c:v>
                </c:pt>
                <c:pt idx="2">
                  <c:v>90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C-4118-BCB2-53E67F031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362744"/>
        <c:axId val="542359504"/>
      </c:barChart>
      <c:catAx>
        <c:axId val="542362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59504"/>
        <c:crosses val="autoZero"/>
        <c:auto val="1"/>
        <c:lblAlgn val="ctr"/>
        <c:lblOffset val="100"/>
        <c:noMultiLvlLbl val="0"/>
      </c:catAx>
      <c:valAx>
        <c:axId val="54235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62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73398</xdr:colOff>
      <xdr:row>2</xdr:row>
      <xdr:rowOff>31936</xdr:rowOff>
    </xdr:from>
    <xdr:to>
      <xdr:col>8</xdr:col>
      <xdr:colOff>414618</xdr:colOff>
      <xdr:row>16</xdr:row>
      <xdr:rowOff>108136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45A71F-5C73-7BDA-7985-76F5F02DA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472327</xdr:colOff>
      <xdr:row>2</xdr:row>
      <xdr:rowOff>33617</xdr:rowOff>
    </xdr:from>
    <xdr:to>
      <xdr:col>15</xdr:col>
      <xdr:colOff>123264</xdr:colOff>
      <xdr:row>16</xdr:row>
      <xdr:rowOff>109817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071087-9A8D-E848-085D-9DD5F2B6A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173688</xdr:colOff>
      <xdr:row>2</xdr:row>
      <xdr:rowOff>29135</xdr:rowOff>
    </xdr:from>
    <xdr:to>
      <xdr:col>22</xdr:col>
      <xdr:colOff>509864</xdr:colOff>
      <xdr:row>16</xdr:row>
      <xdr:rowOff>105335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82F996-C807-0834-C9EA-46A67A058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arto Panai" refreshedDate="46090.628074074077" createdVersion="8" refreshedVersion="8" minRefreshableVersion="3" recordCount="22" xr:uid="{9744C1C9-9FFF-4605-B963-436CB4337727}">
  <cacheSource type="worksheet">
    <worksheetSource ref="A1:H23" sheet="Daftar Rekap Barang"/>
  </cacheSource>
  <cacheFields count="8">
    <cacheField name="Kode Barang" numFmtId="0">
      <sharedItems/>
    </cacheField>
    <cacheField name="Nama Barang" numFmtId="0">
      <sharedItems count="22">
        <s v="Oil Filter CAT 320D"/>
        <s v="Fuel Filter Komatsu PC200"/>
        <s v="Air Filter Primary"/>
        <s v="Hydraulic Hose 1 Inch"/>
        <s v="Track Roller D85"/>
        <s v="Engine Oil 15W40"/>
        <s v="Hydraulic Oil ISO 68"/>
        <s v="Grease EP2"/>
        <s v="Gear Oil SAE 90"/>
        <s v="Safety Helmet"/>
        <s v="Safety Vest"/>
        <s v="Safety Shoes"/>
        <s v="Masker Respirator"/>
        <s v="Sarung Tangan Safety"/>
        <s v="Kabel NYY 3x2.5mm"/>
        <s v="MCB 3 Phase 32A"/>
        <s v="Lampu LED Industrial"/>
        <s v="Pressure Gauge"/>
        <s v="Baut 12mm"/>
        <s v="Mur 12mm"/>
        <s v="Kawat Las LB52"/>
        <s v="Solar Industri"/>
      </sharedItems>
    </cacheField>
    <cacheField name="Kategori" numFmtId="0">
      <sharedItems/>
    </cacheField>
    <cacheField name="Keterangan" numFmtId="0">
      <sharedItems/>
    </cacheField>
    <cacheField name="Stok Awal" numFmtId="0">
      <sharedItems containsSemiMixedTypes="0" containsString="0" containsNumber="1" containsInteger="1" minValue="10" maxValue="10"/>
    </cacheField>
    <cacheField name="Barang masuk" numFmtId="0">
      <sharedItems containsSemiMixedTypes="0" containsString="0" containsNumber="1" containsInteger="1" minValue="0" maxValue="50"/>
    </cacheField>
    <cacheField name="Barang Keluar" numFmtId="0">
      <sharedItems containsSemiMixedTypes="0" containsString="0" containsNumber="1" containsInteger="1" minValue="0" maxValue="9"/>
    </cacheField>
    <cacheField name="Stok Akhir" numFmtId="0">
      <sharedItems containsSemiMixedTypes="0" containsString="0" containsNumber="1" containsInteger="1" minValue="1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SP-ENG-001"/>
    <x v="0"/>
    <s v="Sparepart Engine"/>
    <s v="Filter oli excavator"/>
    <n v="10"/>
    <n v="10"/>
    <n v="0"/>
    <n v="20"/>
  </r>
  <r>
    <s v="SP-ENG-002"/>
    <x v="1"/>
    <s v="Sparepart Engine"/>
    <s v="Filter solar"/>
    <n v="10"/>
    <n v="30"/>
    <n v="0"/>
    <n v="40"/>
  </r>
  <r>
    <s v="SP-ENG-003"/>
    <x v="2"/>
    <s v="Sparepart Engine"/>
    <s v="Filter udara utama"/>
    <n v="10"/>
    <n v="0"/>
    <n v="6"/>
    <n v="4"/>
  </r>
  <r>
    <s v="SP-HYD-001"/>
    <x v="3"/>
    <s v="Sparepart Hydraulic"/>
    <s v="Selang hidrolik"/>
    <n v="10"/>
    <n v="0"/>
    <n v="7"/>
    <n v="3"/>
  </r>
  <r>
    <s v="SP-TRK-001"/>
    <x v="4"/>
    <s v="Sparepart Undercarriage"/>
    <s v="Roller bulldozer"/>
    <n v="10"/>
    <n v="0"/>
    <n v="7"/>
    <n v="3"/>
  </r>
  <r>
    <s v="OIL-ENG-001"/>
    <x v="5"/>
    <s v="Oli &amp; Pelumas"/>
    <s v="Oli mesin diesel"/>
    <n v="10"/>
    <n v="50"/>
    <n v="0"/>
    <n v="60"/>
  </r>
  <r>
    <s v="OIL-HYD-001"/>
    <x v="6"/>
    <s v="Oli &amp; Pelumas"/>
    <s v="Oli hidrolik"/>
    <n v="10"/>
    <n v="0"/>
    <n v="8"/>
    <n v="2"/>
  </r>
  <r>
    <s v="OIL-GRE-001"/>
    <x v="7"/>
    <s v="Oli &amp; Pelumas"/>
    <s v="Gemuk alat berat"/>
    <n v="10"/>
    <n v="0"/>
    <n v="9"/>
    <n v="1"/>
  </r>
  <r>
    <s v="OIL-GEA-001"/>
    <x v="8"/>
    <s v="Oli &amp; Pelumas"/>
    <s v="Oli gardan"/>
    <n v="10"/>
    <n v="0"/>
    <n v="0"/>
    <n v="10"/>
  </r>
  <r>
    <s v="SAF-HELM-001"/>
    <x v="9"/>
    <s v="Safety (K3)"/>
    <s v="Helm proyek"/>
    <n v="10"/>
    <n v="0"/>
    <n v="0"/>
    <n v="10"/>
  </r>
  <r>
    <s v="SAF-VEST-001"/>
    <x v="10"/>
    <s v="Safety (K3)"/>
    <s v="Rompi reflektif"/>
    <n v="10"/>
    <n v="0"/>
    <n v="0"/>
    <n v="10"/>
  </r>
  <r>
    <s v="SAF-BOOT-001"/>
    <x v="11"/>
    <s v="Safety (K3)"/>
    <s v="Sepatu safety"/>
    <n v="10"/>
    <n v="0"/>
    <n v="0"/>
    <n v="10"/>
  </r>
  <r>
    <s v="SAF-MASK-001"/>
    <x v="12"/>
    <s v="Safety (K3)"/>
    <s v="Masker debu tambang"/>
    <n v="10"/>
    <n v="0"/>
    <n v="0"/>
    <n v="10"/>
  </r>
  <r>
    <s v="SAF-GLV-001"/>
    <x v="13"/>
    <s v="Safety (K3)"/>
    <s v="Gloves"/>
    <n v="10"/>
    <n v="0"/>
    <n v="0"/>
    <n v="10"/>
  </r>
  <r>
    <s v="ELE-CBL-001"/>
    <x v="14"/>
    <s v="Electrical"/>
    <s v="Kabel listrik"/>
    <n v="10"/>
    <n v="0"/>
    <n v="0"/>
    <n v="10"/>
  </r>
  <r>
    <s v="ELE-MCB-001"/>
    <x v="15"/>
    <s v="Electrical"/>
    <s v="Mini circuit breaker"/>
    <n v="10"/>
    <n v="0"/>
    <n v="0"/>
    <n v="10"/>
  </r>
  <r>
    <s v="ELE-LMP-001"/>
    <x v="16"/>
    <s v="Electrical"/>
    <s v="Lampu area tambang"/>
    <n v="10"/>
    <n v="0"/>
    <n v="0"/>
    <n v="10"/>
  </r>
  <r>
    <s v="INS-PRS-001"/>
    <x v="17"/>
    <s v="Instrument"/>
    <s v="Alat ukur tekanan"/>
    <n v="10"/>
    <n v="0"/>
    <n v="0"/>
    <n v="10"/>
  </r>
  <r>
    <s v="CON-BLT-001"/>
    <x v="18"/>
    <s v="Consumable"/>
    <s v="Baut baja"/>
    <n v="10"/>
    <n v="0"/>
    <n v="0"/>
    <n v="10"/>
  </r>
  <r>
    <s v="CON-NUT-001"/>
    <x v="19"/>
    <s v="Consumable"/>
    <s v="Mur baja"/>
    <n v="10"/>
    <n v="0"/>
    <n v="0"/>
    <n v="10"/>
  </r>
  <r>
    <s v="CON-WEL-001"/>
    <x v="20"/>
    <s v="Consumable"/>
    <s v="Welding rod"/>
    <n v="10"/>
    <n v="0"/>
    <n v="0"/>
    <n v="10"/>
  </r>
  <r>
    <s v="CON-FUEL-001"/>
    <x v="21"/>
    <s v="Consumable"/>
    <s v="Bahan bakar operasional"/>
    <n v="10"/>
    <n v="0"/>
    <n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7CC3D-69A3-40D0-AD1F-1E9D2EADDE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6" firstHeaderRow="0" firstDataRow="1" firstDataCol="1"/>
  <pivotFields count="8">
    <pivotField showAll="0"/>
    <pivotField axis="axisRow" showAll="0">
      <items count="23">
        <item x="2"/>
        <item x="18"/>
        <item x="5"/>
        <item x="1"/>
        <item x="8"/>
        <item x="7"/>
        <item x="3"/>
        <item x="6"/>
        <item x="14"/>
        <item x="20"/>
        <item x="16"/>
        <item x="12"/>
        <item x="15"/>
        <item x="19"/>
        <item x="0"/>
        <item x="17"/>
        <item x="9"/>
        <item x="11"/>
        <item x="10"/>
        <item x="13"/>
        <item x="21"/>
        <item x="4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tok Awal" fld="4" baseField="0" baseItem="0"/>
    <dataField name="Sum of Barang masuk" fld="5" baseField="0" baseItem="0"/>
    <dataField name="Sum of Barang Keluar" fld="6" baseField="0" baseItem="0"/>
    <dataField name="Sum of Stok Akhi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3924-09DD-460B-9934-2E47A602C6A6}">
  <dimension ref="A3:E26"/>
  <sheetViews>
    <sheetView zoomScale="85" zoomScaleNormal="85" workbookViewId="0">
      <selection activeCell="A12" sqref="A12"/>
    </sheetView>
  </sheetViews>
  <sheetFormatPr defaultRowHeight="15" x14ac:dyDescent="0.25"/>
  <cols>
    <col min="1" max="1" width="24.28515625" bestFit="1" customWidth="1"/>
    <col min="2" max="2" width="16.42578125" bestFit="1" customWidth="1"/>
    <col min="3" max="4" width="20" bestFit="1" customWidth="1"/>
    <col min="5" max="5" width="16.7109375" bestFit="1" customWidth="1"/>
  </cols>
  <sheetData>
    <row r="3" spans="1:5" x14ac:dyDescent="0.25">
      <c r="A3" s="5" t="s">
        <v>86</v>
      </c>
      <c r="B3" t="s">
        <v>88</v>
      </c>
      <c r="C3" t="s">
        <v>89</v>
      </c>
      <c r="D3" t="s">
        <v>90</v>
      </c>
      <c r="E3" t="s">
        <v>91</v>
      </c>
    </row>
    <row r="4" spans="1:5" x14ac:dyDescent="0.25">
      <c r="A4" s="6" t="s">
        <v>15</v>
      </c>
      <c r="B4">
        <v>10</v>
      </c>
      <c r="C4">
        <v>0</v>
      </c>
      <c r="D4">
        <v>6</v>
      </c>
      <c r="E4">
        <v>4</v>
      </c>
    </row>
    <row r="5" spans="1:5" x14ac:dyDescent="0.25">
      <c r="A5" s="6" t="s">
        <v>67</v>
      </c>
      <c r="B5">
        <v>10</v>
      </c>
      <c r="C5">
        <v>0</v>
      </c>
      <c r="D5">
        <v>0</v>
      </c>
      <c r="E5">
        <v>10</v>
      </c>
    </row>
    <row r="6" spans="1:5" x14ac:dyDescent="0.25">
      <c r="A6" s="6" t="s">
        <v>26</v>
      </c>
      <c r="B6">
        <v>10</v>
      </c>
      <c r="C6">
        <v>50</v>
      </c>
      <c r="D6">
        <v>0</v>
      </c>
      <c r="E6">
        <v>60</v>
      </c>
    </row>
    <row r="7" spans="1:5" x14ac:dyDescent="0.25">
      <c r="A7" s="6" t="s">
        <v>12</v>
      </c>
      <c r="B7">
        <v>10</v>
      </c>
      <c r="C7">
        <v>30</v>
      </c>
      <c r="D7">
        <v>0</v>
      </c>
      <c r="E7">
        <v>40</v>
      </c>
    </row>
    <row r="8" spans="1:5" x14ac:dyDescent="0.25">
      <c r="A8" s="6" t="s">
        <v>35</v>
      </c>
      <c r="B8">
        <v>10</v>
      </c>
      <c r="C8">
        <v>0</v>
      </c>
      <c r="D8">
        <v>0</v>
      </c>
      <c r="E8">
        <v>10</v>
      </c>
    </row>
    <row r="9" spans="1:5" x14ac:dyDescent="0.25">
      <c r="A9" s="6" t="s">
        <v>32</v>
      </c>
      <c r="B9">
        <v>10</v>
      </c>
      <c r="C9">
        <v>0</v>
      </c>
      <c r="D9">
        <v>9</v>
      </c>
      <c r="E9">
        <v>1</v>
      </c>
    </row>
    <row r="10" spans="1:5" x14ac:dyDescent="0.25">
      <c r="A10" s="6" t="s">
        <v>18</v>
      </c>
      <c r="B10">
        <v>10</v>
      </c>
      <c r="C10">
        <v>0</v>
      </c>
      <c r="D10">
        <v>7</v>
      </c>
      <c r="E10">
        <v>3</v>
      </c>
    </row>
    <row r="11" spans="1:5" x14ac:dyDescent="0.25">
      <c r="A11" s="6" t="s">
        <v>29</v>
      </c>
      <c r="B11">
        <v>10</v>
      </c>
      <c r="C11">
        <v>0</v>
      </c>
      <c r="D11">
        <v>8</v>
      </c>
      <c r="E11">
        <v>2</v>
      </c>
    </row>
    <row r="12" spans="1:5" x14ac:dyDescent="0.25">
      <c r="A12" s="6" t="s">
        <v>53</v>
      </c>
      <c r="B12">
        <v>10</v>
      </c>
      <c r="C12">
        <v>0</v>
      </c>
      <c r="D12">
        <v>0</v>
      </c>
      <c r="E12">
        <v>10</v>
      </c>
    </row>
    <row r="13" spans="1:5" x14ac:dyDescent="0.25">
      <c r="A13" s="6" t="s">
        <v>74</v>
      </c>
      <c r="B13">
        <v>10</v>
      </c>
      <c r="C13">
        <v>0</v>
      </c>
      <c r="D13">
        <v>0</v>
      </c>
      <c r="E13">
        <v>10</v>
      </c>
    </row>
    <row r="14" spans="1:5" x14ac:dyDescent="0.25">
      <c r="A14" s="6" t="s">
        <v>60</v>
      </c>
      <c r="B14">
        <v>10</v>
      </c>
      <c r="C14">
        <v>0</v>
      </c>
      <c r="D14">
        <v>0</v>
      </c>
      <c r="E14">
        <v>10</v>
      </c>
    </row>
    <row r="15" spans="1:5" x14ac:dyDescent="0.25">
      <c r="A15" s="6" t="s">
        <v>48</v>
      </c>
      <c r="B15">
        <v>10</v>
      </c>
      <c r="C15">
        <v>0</v>
      </c>
      <c r="D15">
        <v>0</v>
      </c>
      <c r="E15">
        <v>10</v>
      </c>
    </row>
    <row r="16" spans="1:5" x14ac:dyDescent="0.25">
      <c r="A16" s="6" t="s">
        <v>57</v>
      </c>
      <c r="B16">
        <v>10</v>
      </c>
      <c r="C16">
        <v>0</v>
      </c>
      <c r="D16">
        <v>0</v>
      </c>
      <c r="E16">
        <v>10</v>
      </c>
    </row>
    <row r="17" spans="1:5" x14ac:dyDescent="0.25">
      <c r="A17" s="6" t="s">
        <v>71</v>
      </c>
      <c r="B17">
        <v>10</v>
      </c>
      <c r="C17">
        <v>0</v>
      </c>
      <c r="D17">
        <v>0</v>
      </c>
      <c r="E17">
        <v>10</v>
      </c>
    </row>
    <row r="18" spans="1:5" x14ac:dyDescent="0.25">
      <c r="A18" s="6" t="s">
        <v>8</v>
      </c>
      <c r="B18">
        <v>10</v>
      </c>
      <c r="C18">
        <v>10</v>
      </c>
      <c r="D18">
        <v>0</v>
      </c>
      <c r="E18">
        <v>20</v>
      </c>
    </row>
    <row r="19" spans="1:5" x14ac:dyDescent="0.25">
      <c r="A19" s="6" t="s">
        <v>63</v>
      </c>
      <c r="B19">
        <v>10</v>
      </c>
      <c r="C19">
        <v>0</v>
      </c>
      <c r="D19">
        <v>0</v>
      </c>
      <c r="E19">
        <v>10</v>
      </c>
    </row>
    <row r="20" spans="1:5" x14ac:dyDescent="0.25">
      <c r="A20" s="6" t="s">
        <v>38</v>
      </c>
      <c r="B20">
        <v>10</v>
      </c>
      <c r="C20">
        <v>0</v>
      </c>
      <c r="D20">
        <v>0</v>
      </c>
      <c r="E20">
        <v>10</v>
      </c>
    </row>
    <row r="21" spans="1:5" x14ac:dyDescent="0.25">
      <c r="A21" s="6" t="s">
        <v>45</v>
      </c>
      <c r="B21">
        <v>10</v>
      </c>
      <c r="C21">
        <v>0</v>
      </c>
      <c r="D21">
        <v>0</v>
      </c>
      <c r="E21">
        <v>10</v>
      </c>
    </row>
    <row r="22" spans="1:5" x14ac:dyDescent="0.25">
      <c r="A22" s="6" t="s">
        <v>42</v>
      </c>
      <c r="B22">
        <v>10</v>
      </c>
      <c r="C22">
        <v>0</v>
      </c>
      <c r="D22">
        <v>0</v>
      </c>
      <c r="E22">
        <v>10</v>
      </c>
    </row>
    <row r="23" spans="1:5" x14ac:dyDescent="0.25">
      <c r="A23" s="6" t="s">
        <v>4</v>
      </c>
      <c r="B23">
        <v>10</v>
      </c>
      <c r="C23">
        <v>0</v>
      </c>
      <c r="D23">
        <v>0</v>
      </c>
      <c r="E23">
        <v>10</v>
      </c>
    </row>
    <row r="24" spans="1:5" x14ac:dyDescent="0.25">
      <c r="A24" s="6" t="s">
        <v>77</v>
      </c>
      <c r="B24">
        <v>10</v>
      </c>
      <c r="C24">
        <v>0</v>
      </c>
      <c r="D24">
        <v>0</v>
      </c>
      <c r="E24">
        <v>10</v>
      </c>
    </row>
    <row r="25" spans="1:5" x14ac:dyDescent="0.25">
      <c r="A25" s="6" t="s">
        <v>22</v>
      </c>
      <c r="B25">
        <v>10</v>
      </c>
      <c r="C25">
        <v>0</v>
      </c>
      <c r="D25">
        <v>7</v>
      </c>
      <c r="E25">
        <v>3</v>
      </c>
    </row>
    <row r="26" spans="1:5" x14ac:dyDescent="0.25">
      <c r="A26" s="6" t="s">
        <v>87</v>
      </c>
      <c r="B26">
        <v>220</v>
      </c>
      <c r="C26">
        <v>90</v>
      </c>
      <c r="D26">
        <v>37</v>
      </c>
      <c r="E26">
        <v>273</v>
      </c>
    </row>
  </sheetData>
  <sheetProtection algorithmName="SHA-512" hashValue="QRuDwaM+1ou9d+5qSI4M5xXYzqXZnS3Wo+6UlbvcftOmWrxWxe2G1CXoQsvhiw4wjJdqjg7ws44PqF8sysEfpA==" saltValue="OSArd4yif3ZYWOuSw+XI1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6FD7-846E-4755-8FA2-477BF148FDAA}">
  <dimension ref="A1:H23"/>
  <sheetViews>
    <sheetView topLeftCell="A3" zoomScaleNormal="100" workbookViewId="0">
      <selection activeCell="H9" sqref="H9"/>
    </sheetView>
  </sheetViews>
  <sheetFormatPr defaultRowHeight="15" x14ac:dyDescent="0.25"/>
  <cols>
    <col min="1" max="1" width="14" bestFit="1" customWidth="1"/>
    <col min="2" max="2" width="24.28515625" bestFit="1" customWidth="1"/>
    <col min="3" max="3" width="22.85546875" bestFit="1" customWidth="1"/>
    <col min="4" max="4" width="23" bestFit="1" customWidth="1"/>
    <col min="5" max="5" width="9.7109375" bestFit="1" customWidth="1"/>
    <col min="6" max="7" width="13.28515625" bestFit="1" customWidth="1"/>
    <col min="8" max="8" width="10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6</v>
      </c>
      <c r="E1" s="3" t="s">
        <v>79</v>
      </c>
      <c r="F1" s="3" t="s">
        <v>80</v>
      </c>
      <c r="G1" s="3" t="s">
        <v>81</v>
      </c>
      <c r="H1" s="3" t="s">
        <v>82</v>
      </c>
    </row>
    <row r="2" spans="1:8" x14ac:dyDescent="0.25">
      <c r="A2" s="4" t="s">
        <v>7</v>
      </c>
      <c r="B2" s="4" t="s">
        <v>8</v>
      </c>
      <c r="C2" s="4" t="s">
        <v>9</v>
      </c>
      <c r="D2" s="4" t="s">
        <v>10</v>
      </c>
      <c r="E2" s="4">
        <v>10</v>
      </c>
      <c r="F2" s="4">
        <f>SUMIF('Barang Masuk'!$D$2:$D$4,'Daftar Rekap Barang'!B2,'Barang Masuk'!$E$2:$E$4)</f>
        <v>10</v>
      </c>
      <c r="G2" s="4">
        <f>SUMIF('Barang Keluar'!$C$2:$C$20,'Daftar Rekap Barang'!B2,'Barang Keluar'!$D$2:$D$20)</f>
        <v>0</v>
      </c>
      <c r="H2">
        <f>E2+F2-G2</f>
        <v>20</v>
      </c>
    </row>
    <row r="3" spans="1:8" x14ac:dyDescent="0.25">
      <c r="A3" s="4" t="s">
        <v>11</v>
      </c>
      <c r="B3" s="4" t="s">
        <v>12</v>
      </c>
      <c r="C3" s="4" t="s">
        <v>9</v>
      </c>
      <c r="D3" s="4" t="s">
        <v>13</v>
      </c>
      <c r="E3" s="4">
        <v>10</v>
      </c>
      <c r="F3" s="4">
        <f>SUMIF('Barang Masuk'!$D$2:$D$4,'Daftar Rekap Barang'!B3,'Barang Masuk'!$E$2:$E$4)</f>
        <v>30</v>
      </c>
      <c r="G3" s="4">
        <f>SUMIF('Barang Keluar'!$C$2:$C$20,'Daftar Rekap Barang'!B3,'Barang Keluar'!$D$2:$D$20)</f>
        <v>0</v>
      </c>
      <c r="H3">
        <f t="shared" ref="H3:H23" si="0">E3+F3-G3</f>
        <v>40</v>
      </c>
    </row>
    <row r="4" spans="1:8" x14ac:dyDescent="0.25">
      <c r="A4" s="4" t="s">
        <v>14</v>
      </c>
      <c r="B4" s="4" t="s">
        <v>15</v>
      </c>
      <c r="C4" s="4" t="s">
        <v>9</v>
      </c>
      <c r="D4" s="4" t="s">
        <v>16</v>
      </c>
      <c r="E4" s="4">
        <v>10</v>
      </c>
      <c r="F4" s="4">
        <f>SUMIF('Barang Masuk'!$D$2:$D$4,'Daftar Rekap Barang'!B4,'Barang Masuk'!$E$2:$E$4)</f>
        <v>0</v>
      </c>
      <c r="G4" s="4">
        <f>SUMIF('Barang Keluar'!$C$2:$C$20,'Daftar Rekap Barang'!B4,'Barang Keluar'!$D$2:$D$20)</f>
        <v>6</v>
      </c>
      <c r="H4">
        <f t="shared" si="0"/>
        <v>4</v>
      </c>
    </row>
    <row r="5" spans="1:8" x14ac:dyDescent="0.25">
      <c r="A5" s="4" t="s">
        <v>17</v>
      </c>
      <c r="B5" s="4" t="s">
        <v>18</v>
      </c>
      <c r="C5" s="4" t="s">
        <v>19</v>
      </c>
      <c r="D5" s="4" t="s">
        <v>20</v>
      </c>
      <c r="E5" s="4">
        <v>10</v>
      </c>
      <c r="F5" s="4">
        <f>SUMIF('Barang Masuk'!$D$2:$D$4,'Daftar Rekap Barang'!B5,'Barang Masuk'!$E$2:$E$4)</f>
        <v>0</v>
      </c>
      <c r="G5" s="4">
        <f>SUMIF('Barang Keluar'!$C$2:$C$20,'Daftar Rekap Barang'!B5,'Barang Keluar'!$D$2:$D$20)</f>
        <v>7</v>
      </c>
      <c r="H5">
        <f t="shared" si="0"/>
        <v>3</v>
      </c>
    </row>
    <row r="6" spans="1:8" x14ac:dyDescent="0.25">
      <c r="A6" s="4" t="s">
        <v>21</v>
      </c>
      <c r="B6" s="4" t="s">
        <v>22</v>
      </c>
      <c r="C6" s="4" t="s">
        <v>23</v>
      </c>
      <c r="D6" s="4" t="s">
        <v>24</v>
      </c>
      <c r="E6" s="4">
        <v>10</v>
      </c>
      <c r="F6" s="4">
        <f>SUMIF('Barang Masuk'!$D$2:$D$4,'Daftar Rekap Barang'!B6,'Barang Masuk'!$E$2:$E$4)</f>
        <v>0</v>
      </c>
      <c r="G6" s="4">
        <f>SUMIF('Barang Keluar'!$C$2:$C$20,'Daftar Rekap Barang'!B6,'Barang Keluar'!$D$2:$D$20)</f>
        <v>7</v>
      </c>
      <c r="H6">
        <f t="shared" si="0"/>
        <v>3</v>
      </c>
    </row>
    <row r="7" spans="1:8" x14ac:dyDescent="0.25">
      <c r="A7" s="4" t="s">
        <v>25</v>
      </c>
      <c r="B7" s="4" t="s">
        <v>26</v>
      </c>
      <c r="C7" s="4" t="s">
        <v>3</v>
      </c>
      <c r="D7" s="4" t="s">
        <v>27</v>
      </c>
      <c r="E7" s="4">
        <v>10</v>
      </c>
      <c r="F7" s="4">
        <f>SUMIF('Barang Masuk'!$D$2:$D$4,'Daftar Rekap Barang'!B7,'Barang Masuk'!$E$2:$E$4)</f>
        <v>50</v>
      </c>
      <c r="G7" s="4">
        <f>SUMIF('Barang Keluar'!$C$2:$C$20,'Daftar Rekap Barang'!B7,'Barang Keluar'!$D$2:$D$20)</f>
        <v>0</v>
      </c>
      <c r="H7">
        <f t="shared" si="0"/>
        <v>60</v>
      </c>
    </row>
    <row r="8" spans="1:8" x14ac:dyDescent="0.25">
      <c r="A8" s="4" t="s">
        <v>28</v>
      </c>
      <c r="B8" s="4" t="s">
        <v>29</v>
      </c>
      <c r="C8" s="4" t="s">
        <v>3</v>
      </c>
      <c r="D8" s="4" t="s">
        <v>30</v>
      </c>
      <c r="E8" s="4">
        <v>10</v>
      </c>
      <c r="F8" s="4">
        <f>SUMIF('Barang Masuk'!$D$2:$D$4,'Daftar Rekap Barang'!B8,'Barang Masuk'!$E$2:$E$4)</f>
        <v>0</v>
      </c>
      <c r="G8" s="4">
        <f>SUMIF('Barang Keluar'!$C$2:$C$20,'Daftar Rekap Barang'!B8,'Barang Keluar'!$D$2:$D$20)</f>
        <v>8</v>
      </c>
      <c r="H8">
        <f t="shared" si="0"/>
        <v>2</v>
      </c>
    </row>
    <row r="9" spans="1:8" x14ac:dyDescent="0.25">
      <c r="A9" s="4" t="s">
        <v>31</v>
      </c>
      <c r="B9" s="4" t="s">
        <v>32</v>
      </c>
      <c r="C9" s="4" t="s">
        <v>3</v>
      </c>
      <c r="D9" s="4" t="s">
        <v>33</v>
      </c>
      <c r="E9" s="4">
        <v>10</v>
      </c>
      <c r="F9" s="4">
        <f>SUMIF('Barang Masuk'!$D$2:$D$4,'Daftar Rekap Barang'!B9,'Barang Masuk'!$E$2:$E$4)</f>
        <v>0</v>
      </c>
      <c r="G9" s="4">
        <f>SUMIF('Barang Keluar'!$C$2:$C$20,'Daftar Rekap Barang'!B9,'Barang Keluar'!$D$2:$D$20)</f>
        <v>9</v>
      </c>
      <c r="H9">
        <f t="shared" si="0"/>
        <v>1</v>
      </c>
    </row>
    <row r="10" spans="1:8" x14ac:dyDescent="0.25">
      <c r="A10" s="4" t="s">
        <v>34</v>
      </c>
      <c r="B10" s="4" t="s">
        <v>35</v>
      </c>
      <c r="C10" s="4" t="s">
        <v>3</v>
      </c>
      <c r="D10" s="4" t="s">
        <v>36</v>
      </c>
      <c r="E10" s="4">
        <v>10</v>
      </c>
      <c r="F10" s="4">
        <f>SUMIF('Barang Masuk'!$D$2:$D$4,'Daftar Rekap Barang'!B10,'Barang Masuk'!$E$2:$E$4)</f>
        <v>0</v>
      </c>
      <c r="G10" s="4">
        <f>SUMIF('Barang Keluar'!$C$2:$C$20,'Daftar Rekap Barang'!B10,'Barang Keluar'!$D$2:$D$20)</f>
        <v>0</v>
      </c>
      <c r="H10">
        <f t="shared" si="0"/>
        <v>10</v>
      </c>
    </row>
    <row r="11" spans="1:8" x14ac:dyDescent="0.25">
      <c r="A11" s="4" t="s">
        <v>37</v>
      </c>
      <c r="B11" s="4" t="s">
        <v>38</v>
      </c>
      <c r="C11" s="4" t="s">
        <v>39</v>
      </c>
      <c r="D11" s="4" t="s">
        <v>40</v>
      </c>
      <c r="E11" s="4">
        <v>10</v>
      </c>
      <c r="F11" s="4">
        <f>SUMIF('Barang Masuk'!$D$2:$D$4,'Daftar Rekap Barang'!B11,'Barang Masuk'!$E$2:$E$4)</f>
        <v>0</v>
      </c>
      <c r="G11" s="4">
        <f>SUMIF('Barang Keluar'!$C$2:$C$20,'Daftar Rekap Barang'!B11,'Barang Keluar'!$D$2:$D$20)</f>
        <v>0</v>
      </c>
      <c r="H11">
        <f t="shared" si="0"/>
        <v>10</v>
      </c>
    </row>
    <row r="12" spans="1:8" x14ac:dyDescent="0.25">
      <c r="A12" s="4" t="s">
        <v>41</v>
      </c>
      <c r="B12" s="4" t="s">
        <v>42</v>
      </c>
      <c r="C12" s="4" t="s">
        <v>39</v>
      </c>
      <c r="D12" s="4" t="s">
        <v>43</v>
      </c>
      <c r="E12" s="4">
        <v>10</v>
      </c>
      <c r="F12" s="4">
        <f>SUMIF('Barang Masuk'!$D$2:$D$4,'Daftar Rekap Barang'!B12,'Barang Masuk'!$E$2:$E$4)</f>
        <v>0</v>
      </c>
      <c r="G12" s="4">
        <f>SUMIF('Barang Keluar'!$C$2:$C$20,'Daftar Rekap Barang'!B12,'Barang Keluar'!$D$2:$D$20)</f>
        <v>0</v>
      </c>
      <c r="H12">
        <f t="shared" si="0"/>
        <v>10</v>
      </c>
    </row>
    <row r="13" spans="1:8" x14ac:dyDescent="0.25">
      <c r="A13" s="4" t="s">
        <v>44</v>
      </c>
      <c r="B13" s="4" t="s">
        <v>45</v>
      </c>
      <c r="C13" s="4" t="s">
        <v>39</v>
      </c>
      <c r="D13" s="4" t="s">
        <v>46</v>
      </c>
      <c r="E13" s="4">
        <v>10</v>
      </c>
      <c r="F13" s="4">
        <f>SUMIF('Barang Masuk'!$D$2:$D$4,'Daftar Rekap Barang'!B13,'Barang Masuk'!$E$2:$E$4)</f>
        <v>0</v>
      </c>
      <c r="G13" s="4">
        <f>SUMIF('Barang Keluar'!$C$2:$C$20,'Daftar Rekap Barang'!B13,'Barang Keluar'!$D$2:$D$20)</f>
        <v>0</v>
      </c>
      <c r="H13">
        <f t="shared" si="0"/>
        <v>10</v>
      </c>
    </row>
    <row r="14" spans="1:8" x14ac:dyDescent="0.25">
      <c r="A14" s="4" t="s">
        <v>47</v>
      </c>
      <c r="B14" s="4" t="s">
        <v>48</v>
      </c>
      <c r="C14" s="4" t="s">
        <v>39</v>
      </c>
      <c r="D14" s="4" t="s">
        <v>49</v>
      </c>
      <c r="E14" s="4">
        <v>10</v>
      </c>
      <c r="F14" s="4">
        <f>SUMIF('Barang Masuk'!$D$2:$D$4,'Daftar Rekap Barang'!B14,'Barang Masuk'!$E$2:$E$4)</f>
        <v>0</v>
      </c>
      <c r="G14" s="4">
        <f>SUMIF('Barang Keluar'!$C$2:$C$20,'Daftar Rekap Barang'!B14,'Barang Keluar'!$D$2:$D$20)</f>
        <v>0</v>
      </c>
      <c r="H14">
        <f t="shared" si="0"/>
        <v>10</v>
      </c>
    </row>
    <row r="15" spans="1:8" x14ac:dyDescent="0.25">
      <c r="A15" s="4" t="s">
        <v>50</v>
      </c>
      <c r="B15" s="4" t="s">
        <v>4</v>
      </c>
      <c r="C15" s="4" t="s">
        <v>39</v>
      </c>
      <c r="D15" s="4" t="s">
        <v>51</v>
      </c>
      <c r="E15" s="4">
        <v>10</v>
      </c>
      <c r="F15" s="4">
        <f>SUMIF('Barang Masuk'!$D$2:$D$4,'Daftar Rekap Barang'!B15,'Barang Masuk'!$E$2:$E$4)</f>
        <v>0</v>
      </c>
      <c r="G15" s="4">
        <f>SUMIF('Barang Keluar'!$C$2:$C$20,'Daftar Rekap Barang'!B15,'Barang Keluar'!$D$2:$D$20)</f>
        <v>0</v>
      </c>
      <c r="H15">
        <f t="shared" si="0"/>
        <v>10</v>
      </c>
    </row>
    <row r="16" spans="1:8" x14ac:dyDescent="0.25">
      <c r="A16" s="4" t="s">
        <v>52</v>
      </c>
      <c r="B16" s="4" t="s">
        <v>53</v>
      </c>
      <c r="C16" s="4" t="s">
        <v>54</v>
      </c>
      <c r="D16" s="4" t="s">
        <v>55</v>
      </c>
      <c r="E16" s="4">
        <v>10</v>
      </c>
      <c r="F16" s="4">
        <f>SUMIF('Barang Masuk'!$D$2:$D$4,'Daftar Rekap Barang'!B16,'Barang Masuk'!$E$2:$E$4)</f>
        <v>0</v>
      </c>
      <c r="G16" s="4">
        <f>SUMIF('Barang Keluar'!$C$2:$C$20,'Daftar Rekap Barang'!B16,'Barang Keluar'!$D$2:$D$20)</f>
        <v>0</v>
      </c>
      <c r="H16">
        <f t="shared" si="0"/>
        <v>10</v>
      </c>
    </row>
    <row r="17" spans="1:8" x14ac:dyDescent="0.25">
      <c r="A17" s="4" t="s">
        <v>56</v>
      </c>
      <c r="B17" s="4" t="s">
        <v>57</v>
      </c>
      <c r="C17" s="4" t="s">
        <v>54</v>
      </c>
      <c r="D17" s="4" t="s">
        <v>58</v>
      </c>
      <c r="E17" s="4">
        <v>10</v>
      </c>
      <c r="F17" s="4">
        <f>SUMIF('Barang Masuk'!$D$2:$D$4,'Daftar Rekap Barang'!B17,'Barang Masuk'!$E$2:$E$4)</f>
        <v>0</v>
      </c>
      <c r="G17" s="4">
        <f>SUMIF('Barang Keluar'!$C$2:$C$20,'Daftar Rekap Barang'!B17,'Barang Keluar'!$D$2:$D$20)</f>
        <v>0</v>
      </c>
      <c r="H17">
        <f t="shared" si="0"/>
        <v>10</v>
      </c>
    </row>
    <row r="18" spans="1:8" x14ac:dyDescent="0.25">
      <c r="A18" s="4" t="s">
        <v>59</v>
      </c>
      <c r="B18" s="4" t="s">
        <v>60</v>
      </c>
      <c r="C18" s="4" t="s">
        <v>54</v>
      </c>
      <c r="D18" s="4" t="s">
        <v>61</v>
      </c>
      <c r="E18" s="4">
        <v>10</v>
      </c>
      <c r="F18" s="4">
        <f>SUMIF('Barang Masuk'!$D$2:$D$4,'Daftar Rekap Barang'!B18,'Barang Masuk'!$E$2:$E$4)</f>
        <v>0</v>
      </c>
      <c r="G18" s="4">
        <f>SUMIF('Barang Keluar'!$C$2:$C$20,'Daftar Rekap Barang'!B18,'Barang Keluar'!$D$2:$D$20)</f>
        <v>0</v>
      </c>
      <c r="H18">
        <f t="shared" si="0"/>
        <v>10</v>
      </c>
    </row>
    <row r="19" spans="1:8" x14ac:dyDescent="0.25">
      <c r="A19" s="4" t="s">
        <v>62</v>
      </c>
      <c r="B19" s="4" t="s">
        <v>63</v>
      </c>
      <c r="C19" s="4" t="s">
        <v>64</v>
      </c>
      <c r="D19" s="4" t="s">
        <v>65</v>
      </c>
      <c r="E19" s="4">
        <v>10</v>
      </c>
      <c r="F19" s="4">
        <f>SUMIF('Barang Masuk'!$D$2:$D$4,'Daftar Rekap Barang'!B19,'Barang Masuk'!$E$2:$E$4)</f>
        <v>0</v>
      </c>
      <c r="G19" s="4">
        <f>SUMIF('Barang Keluar'!$C$2:$C$20,'Daftar Rekap Barang'!B19,'Barang Keluar'!$D$2:$D$20)</f>
        <v>0</v>
      </c>
      <c r="H19">
        <f t="shared" si="0"/>
        <v>10</v>
      </c>
    </row>
    <row r="20" spans="1:8" x14ac:dyDescent="0.25">
      <c r="A20" s="4" t="s">
        <v>66</v>
      </c>
      <c r="B20" s="4" t="s">
        <v>67</v>
      </c>
      <c r="C20" s="4" t="s">
        <v>68</v>
      </c>
      <c r="D20" s="4" t="s">
        <v>69</v>
      </c>
      <c r="E20" s="4">
        <v>10</v>
      </c>
      <c r="F20" s="4">
        <f>SUMIF('Barang Masuk'!$D$2:$D$4,'Daftar Rekap Barang'!B20,'Barang Masuk'!$E$2:$E$4)</f>
        <v>0</v>
      </c>
      <c r="G20" s="4">
        <f>SUMIF('Barang Keluar'!$C$2:$C$20,'Daftar Rekap Barang'!B20,'Barang Keluar'!$D$2:$D$20)</f>
        <v>0</v>
      </c>
      <c r="H20">
        <f t="shared" si="0"/>
        <v>10</v>
      </c>
    </row>
    <row r="21" spans="1:8" x14ac:dyDescent="0.25">
      <c r="A21" s="4" t="s">
        <v>70</v>
      </c>
      <c r="B21" s="4" t="s">
        <v>71</v>
      </c>
      <c r="C21" s="4" t="s">
        <v>68</v>
      </c>
      <c r="D21" s="4" t="s">
        <v>72</v>
      </c>
      <c r="E21" s="4">
        <v>10</v>
      </c>
      <c r="F21" s="4">
        <f>SUMIF('Barang Masuk'!$D$2:$D$4,'Daftar Rekap Barang'!B21,'Barang Masuk'!$E$2:$E$4)</f>
        <v>0</v>
      </c>
      <c r="G21" s="4">
        <f>SUMIF('Barang Keluar'!$C$2:$C$20,'Daftar Rekap Barang'!B21,'Barang Keluar'!$D$2:$D$20)</f>
        <v>0</v>
      </c>
      <c r="H21">
        <f t="shared" si="0"/>
        <v>10</v>
      </c>
    </row>
    <row r="22" spans="1:8" x14ac:dyDescent="0.25">
      <c r="A22" s="4" t="s">
        <v>73</v>
      </c>
      <c r="B22" s="4" t="s">
        <v>74</v>
      </c>
      <c r="C22" s="4" t="s">
        <v>68</v>
      </c>
      <c r="D22" s="4" t="s">
        <v>75</v>
      </c>
      <c r="E22" s="4">
        <v>10</v>
      </c>
      <c r="F22" s="4">
        <f>SUMIF('Barang Masuk'!$D$2:$D$4,'Daftar Rekap Barang'!B22,'Barang Masuk'!$E$2:$E$4)</f>
        <v>0</v>
      </c>
      <c r="G22" s="4">
        <f>SUMIF('Barang Keluar'!$C$2:$C$20,'Daftar Rekap Barang'!B22,'Barang Keluar'!$D$2:$D$20)</f>
        <v>0</v>
      </c>
      <c r="H22">
        <f t="shared" si="0"/>
        <v>10</v>
      </c>
    </row>
    <row r="23" spans="1:8" x14ac:dyDescent="0.25">
      <c r="A23" s="4" t="s">
        <v>76</v>
      </c>
      <c r="B23" s="4" t="s">
        <v>77</v>
      </c>
      <c r="C23" s="4" t="s">
        <v>68</v>
      </c>
      <c r="D23" s="4" t="s">
        <v>78</v>
      </c>
      <c r="E23" s="4">
        <v>10</v>
      </c>
      <c r="F23" s="4">
        <f>SUMIF('Barang Masuk'!$D$2:$D$4,'Daftar Rekap Barang'!B23,'Barang Masuk'!$E$2:$E$4)</f>
        <v>0</v>
      </c>
      <c r="G23" s="4">
        <f>SUMIF('Barang Keluar'!$C$2:$C$20,'Daftar Rekap Barang'!B23,'Barang Keluar'!$D$2:$D$20)</f>
        <v>0</v>
      </c>
      <c r="H23">
        <f t="shared" si="0"/>
        <v>10</v>
      </c>
    </row>
  </sheetData>
  <sheetProtection algorithmName="SHA-512" hashValue="7GiMZvGW7R2Tz9/MP9dpkys1lLG1jDEP85UrsOUSzT2C0IryCsE2sQInkP7irTjyZ6XB7zHlZqcyRtfDbSJ3Eg==" saltValue="r/SOnLnwBT68qToblZm9/w==" spinCount="100000" sheet="1" objects="1" scenarios="1"/>
  <conditionalFormatting sqref="H2:H23">
    <cfRule type="cellIs" dxfId="1" priority="1" operator="greaterThan">
      <formula>5</formula>
    </cfRule>
    <cfRule type="cellIs" dxfId="0" priority="2" operator="less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7B30-A17E-40D0-9855-31D395AD89DF}">
  <dimension ref="A1:X8"/>
  <sheetViews>
    <sheetView tabSelected="1" zoomScale="85" zoomScaleNormal="85" workbookViewId="0">
      <selection activeCell="A7" sqref="A7:A8"/>
    </sheetView>
  </sheetViews>
  <sheetFormatPr defaultRowHeight="15" x14ac:dyDescent="0.25"/>
  <cols>
    <col min="1" max="1" width="12.42578125" style="4" customWidth="1"/>
    <col min="2" max="2" width="9" style="4" customWidth="1"/>
    <col min="3" max="16384" width="9.140625" style="4"/>
  </cols>
  <sheetData>
    <row r="1" spans="1:24" x14ac:dyDescent="0.25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33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x14ac:dyDescent="0.25">
      <c r="A3" s="8" t="s">
        <v>92</v>
      </c>
      <c r="B3" s="9">
        <f>SUM('Daftar Rekap Barang'!H2:H23)</f>
        <v>273</v>
      </c>
    </row>
    <row r="4" spans="1:24" x14ac:dyDescent="0.25">
      <c r="A4" s="8"/>
      <c r="B4" s="9"/>
    </row>
    <row r="5" spans="1:24" x14ac:dyDescent="0.25">
      <c r="A5" s="10" t="s">
        <v>93</v>
      </c>
      <c r="B5" s="11">
        <f>SUM('Barang Masuk'!E2:E22)</f>
        <v>90</v>
      </c>
    </row>
    <row r="6" spans="1:24" x14ac:dyDescent="0.25">
      <c r="A6" s="10"/>
      <c r="B6" s="11"/>
    </row>
    <row r="7" spans="1:24" x14ac:dyDescent="0.25">
      <c r="A7" s="12" t="s">
        <v>94</v>
      </c>
      <c r="B7" s="13">
        <f>SUM('Barang Keluar'!D2:D23)</f>
        <v>37</v>
      </c>
    </row>
    <row r="8" spans="1:24" x14ac:dyDescent="0.25">
      <c r="A8" s="12"/>
      <c r="B8" s="13"/>
    </row>
  </sheetData>
  <sheetProtection algorithmName="SHA-512" hashValue="nfz7GZ9egRrgHuqQNmH5cLs7FKESWFyRoh6t4ebexHOcsf8E3nHsToN77NoYc8PU+2Q+DciSx5wT8GZhkf5U2A==" saltValue="P3XqlCE9X+3mo9FZJu6hEg==" spinCount="100000" sheet="1" objects="1" scenarios="1"/>
  <mergeCells count="7">
    <mergeCell ref="A7:A8"/>
    <mergeCell ref="B7:B8"/>
    <mergeCell ref="A1:X2"/>
    <mergeCell ref="A3:A4"/>
    <mergeCell ref="B3:B4"/>
    <mergeCell ref="A5:A6"/>
    <mergeCell ref="B5:B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EB4B-FF8C-45E6-81ED-220FA8436811}">
  <dimension ref="A1:G4"/>
  <sheetViews>
    <sheetView topLeftCell="B1" workbookViewId="0">
      <selection activeCell="C3" sqref="C3"/>
    </sheetView>
  </sheetViews>
  <sheetFormatPr defaultRowHeight="15" x14ac:dyDescent="0.25"/>
  <cols>
    <col min="1" max="1" width="12.42578125" bestFit="1" customWidth="1"/>
    <col min="2" max="2" width="10.7109375" bestFit="1" customWidth="1"/>
    <col min="3" max="3" width="12" bestFit="1" customWidth="1"/>
    <col min="4" max="4" width="24.28515625" bestFit="1" customWidth="1"/>
    <col min="5" max="5" width="13.85546875" bestFit="1" customWidth="1"/>
    <col min="6" max="6" width="16.140625" bestFit="1" customWidth="1"/>
    <col min="7" max="7" width="17.7109375" bestFit="1" customWidth="1"/>
    <col min="8" max="8" width="12.5703125" bestFit="1" customWidth="1"/>
    <col min="9" max="9" width="10.28515625" bestFit="1" customWidth="1"/>
    <col min="10" max="10" width="12.42578125" bestFit="1" customWidth="1"/>
    <col min="11" max="11" width="5.42578125" bestFit="1" customWidth="1"/>
  </cols>
  <sheetData>
    <row r="1" spans="1:7" x14ac:dyDescent="0.25">
      <c r="A1" t="s">
        <v>83</v>
      </c>
      <c r="B1" s="3" t="s">
        <v>5</v>
      </c>
      <c r="C1" s="3" t="s">
        <v>0</v>
      </c>
      <c r="D1" s="3" t="s">
        <v>1</v>
      </c>
      <c r="E1" s="3" t="s">
        <v>84</v>
      </c>
      <c r="F1" s="3" t="s">
        <v>2</v>
      </c>
      <c r="G1" s="3" t="s">
        <v>6</v>
      </c>
    </row>
    <row r="2" spans="1:7" x14ac:dyDescent="0.25">
      <c r="B2" s="1">
        <v>46082</v>
      </c>
      <c r="C2" t="s">
        <v>7</v>
      </c>
      <c r="D2" t="str">
        <f>VLOOKUP(C2,'Daftar Rekap Barang'!$A$1:$D$23,2,0)</f>
        <v>Oil Filter CAT 320D</v>
      </c>
      <c r="E2">
        <v>10</v>
      </c>
      <c r="F2" t="str">
        <f>VLOOKUP(C2,'Daftar Rekap Barang'!$A$1:$D$23,3,0)</f>
        <v>Sparepart Engine</v>
      </c>
      <c r="G2" t="str">
        <f>VLOOKUP(C2,'Daftar Rekap Barang'!$A$1:$D$23,4,0)</f>
        <v>Filter oli excavator</v>
      </c>
    </row>
    <row r="3" spans="1:7" x14ac:dyDescent="0.25">
      <c r="B3" t="s">
        <v>85</v>
      </c>
      <c r="C3" t="s">
        <v>11</v>
      </c>
      <c r="D3" t="str">
        <f>VLOOKUP(C3,'Daftar Rekap Barang'!$A$1:$D$23,2,0)</f>
        <v>Fuel Filter Komatsu PC200</v>
      </c>
      <c r="E3">
        <v>30</v>
      </c>
      <c r="F3" t="str">
        <f>VLOOKUP(C3,'Daftar Rekap Barang'!$A$1:$D$23,3,0)</f>
        <v>Sparepart Engine</v>
      </c>
      <c r="G3" t="str">
        <f>VLOOKUP(C3,'Daftar Rekap Barang'!$A$1:$D$23,4,0)</f>
        <v>Filter solar</v>
      </c>
    </row>
    <row r="4" spans="1:7" x14ac:dyDescent="0.25">
      <c r="B4" s="1">
        <v>46083</v>
      </c>
      <c r="C4" t="s">
        <v>25</v>
      </c>
      <c r="D4" t="str">
        <f>VLOOKUP(C4,'Daftar Rekap Barang'!$A$1:$D$23,2,0)</f>
        <v>Engine Oil 15W40</v>
      </c>
      <c r="E4">
        <v>50</v>
      </c>
      <c r="F4" t="str">
        <f>VLOOKUP(C4,'Daftar Rekap Barang'!$A$1:$D$23,3,0)</f>
        <v>Oli &amp; Pelumas</v>
      </c>
      <c r="G4" t="str">
        <f>VLOOKUP(C4,'Daftar Rekap Barang'!$A$1:$D$23,4,0)</f>
        <v>Oli mesin diesel</v>
      </c>
    </row>
  </sheetData>
  <sheetProtection algorithmName="SHA-512" hashValue="8Sz+rSs67fgd2b3qUxPFYdAZabskB/K3OY22tJpVmqtoMuDDlcPlGE5bmwmp95awsWmz3zc3C1aDsJlHLx9pBw==" saltValue="sEWhrLRu49MIDrv6P5+82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73F6-6C1E-4D4C-8F58-1D7FC445E650}">
  <dimension ref="A1:F20"/>
  <sheetViews>
    <sheetView workbookViewId="0">
      <selection activeCell="E14" sqref="E14"/>
    </sheetView>
  </sheetViews>
  <sheetFormatPr defaultRowHeight="15" x14ac:dyDescent="0.25"/>
  <cols>
    <col min="1" max="1" width="10.7109375" bestFit="1" customWidth="1"/>
    <col min="2" max="2" width="12" bestFit="1" customWidth="1"/>
    <col min="3" max="3" width="20" bestFit="1" customWidth="1"/>
    <col min="4" max="4" width="13.85546875" bestFit="1" customWidth="1"/>
    <col min="5" max="5" width="22.85546875" bestFit="1" customWidth="1"/>
    <col min="6" max="6" width="17.42578125" bestFit="1" customWidth="1"/>
  </cols>
  <sheetData>
    <row r="1" spans="1:6" x14ac:dyDescent="0.25">
      <c r="A1" s="3" t="s">
        <v>5</v>
      </c>
      <c r="B1" s="3" t="s">
        <v>0</v>
      </c>
      <c r="C1" s="3" t="s">
        <v>1</v>
      </c>
      <c r="D1" s="3" t="s">
        <v>84</v>
      </c>
      <c r="E1" s="3" t="s">
        <v>2</v>
      </c>
      <c r="F1" s="3" t="s">
        <v>6</v>
      </c>
    </row>
    <row r="2" spans="1:6" x14ac:dyDescent="0.25">
      <c r="A2" s="1">
        <v>46084</v>
      </c>
      <c r="B2" t="s">
        <v>14</v>
      </c>
      <c r="C2" t="str">
        <f>IFERROR(VLOOKUP(B2,'Daftar Rekap Barang'!A1:$D$23,2,0),"")</f>
        <v>Air Filter Primary</v>
      </c>
      <c r="D2" s="2">
        <v>6</v>
      </c>
      <c r="E2" t="str">
        <f>IFERROR(VLOOKUP(B2,'Daftar Rekap Barang'!$A$1:$D$23,3,0),"")</f>
        <v>Sparepart Engine</v>
      </c>
      <c r="F2" t="str">
        <f>IFERROR(VLOOKUP(B2,'Daftar Rekap Barang'!A1:D23,4,0),"")</f>
        <v>Filter udara utama</v>
      </c>
    </row>
    <row r="3" spans="1:6" x14ac:dyDescent="0.25">
      <c r="A3" s="1">
        <v>46084</v>
      </c>
      <c r="B3" t="s">
        <v>17</v>
      </c>
      <c r="C3" t="str">
        <f>IFERROR(VLOOKUP(B3,'Daftar Rekap Barang'!A2:$D$23,2,0),"")</f>
        <v>Hydraulic Hose 1 Inch</v>
      </c>
      <c r="D3" s="2">
        <v>7</v>
      </c>
      <c r="E3" t="str">
        <f>IFERROR(VLOOKUP(B3,'Daftar Rekap Barang'!$A$1:$D$23,3,0),"")</f>
        <v>Sparepart Hydraulic</v>
      </c>
      <c r="F3" t="str">
        <f>IFERROR(VLOOKUP(B3,'Daftar Rekap Barang'!A2:D24,4,0),"")</f>
        <v>Selang hidrolik</v>
      </c>
    </row>
    <row r="4" spans="1:6" x14ac:dyDescent="0.25">
      <c r="A4" s="1">
        <v>46085</v>
      </c>
      <c r="B4" t="s">
        <v>21</v>
      </c>
      <c r="C4" t="str">
        <f>IFERROR(VLOOKUP(B4,'Daftar Rekap Barang'!A3:$D$23,2,0),"")</f>
        <v>Track Roller D85</v>
      </c>
      <c r="D4" s="2">
        <v>7</v>
      </c>
      <c r="E4" t="str">
        <f>IFERROR(VLOOKUP(B4,'Daftar Rekap Barang'!$A$1:$D$23,3,0),"")</f>
        <v>Sparepart Undercarriage</v>
      </c>
      <c r="F4" t="str">
        <f>IFERROR(VLOOKUP(B4,'Daftar Rekap Barang'!A3:D25,4,0),"")</f>
        <v>Roller bulldozer</v>
      </c>
    </row>
    <row r="5" spans="1:6" x14ac:dyDescent="0.25">
      <c r="A5" s="1">
        <v>46085</v>
      </c>
      <c r="B5" t="s">
        <v>28</v>
      </c>
      <c r="C5" t="str">
        <f>IFERROR(VLOOKUP(B5,'Daftar Rekap Barang'!A4:$D$23,2,0),"")</f>
        <v>Hydraulic Oil ISO 68</v>
      </c>
      <c r="D5" s="2">
        <v>8</v>
      </c>
      <c r="E5" t="str">
        <f>IFERROR(VLOOKUP(B5,'Daftar Rekap Barang'!$A$1:$D$23,3,0),"")</f>
        <v>Oli &amp; Pelumas</v>
      </c>
      <c r="F5" t="str">
        <f>IFERROR(VLOOKUP(B5,'Daftar Rekap Barang'!A4:D26,4,0),"")</f>
        <v>Oli hidrolik</v>
      </c>
    </row>
    <row r="6" spans="1:6" x14ac:dyDescent="0.25">
      <c r="A6" s="1">
        <v>46088</v>
      </c>
      <c r="B6" s="4" t="s">
        <v>31</v>
      </c>
      <c r="C6" t="str">
        <f>IFERROR(VLOOKUP(B6,'Daftar Rekap Barang'!A5:$D$23,2,0),"")</f>
        <v>Grease EP2</v>
      </c>
      <c r="D6" s="2">
        <v>9</v>
      </c>
      <c r="E6" t="str">
        <f>IFERROR(VLOOKUP(B6,'Daftar Rekap Barang'!$A$1:$D$23,3,0),"")</f>
        <v>Oli &amp; Pelumas</v>
      </c>
      <c r="F6" t="str">
        <f>IFERROR(VLOOKUP(B6,'Daftar Rekap Barang'!A5:D27,4,0),"")</f>
        <v>Gemuk alat berat</v>
      </c>
    </row>
    <row r="7" spans="1:6" x14ac:dyDescent="0.25">
      <c r="C7" t="str">
        <f>IFERROR(VLOOKUP(B7,'Daftar Rekap Barang'!A6:$D$23,2,0),"")</f>
        <v/>
      </c>
      <c r="E7" t="str">
        <f>IFERROR(VLOOKUP(B7,'Daftar Rekap Barang'!$A$1:$D$23,3,0),"")</f>
        <v/>
      </c>
      <c r="F7" t="str">
        <f>IFERROR(VLOOKUP(B7,'Daftar Rekap Barang'!A6:D28,4,0),"")</f>
        <v/>
      </c>
    </row>
    <row r="8" spans="1:6" x14ac:dyDescent="0.25">
      <c r="C8" t="str">
        <f>IFERROR(VLOOKUP(B8,'Daftar Rekap Barang'!A7:$D$23,2,0),"")</f>
        <v/>
      </c>
      <c r="E8" t="str">
        <f>IFERROR(VLOOKUP(B8,'Daftar Rekap Barang'!$A$1:$D$23,3,0),"")</f>
        <v/>
      </c>
      <c r="F8" t="str">
        <f>IFERROR(VLOOKUP(B8,'Daftar Rekap Barang'!A7:D29,4,0),"")</f>
        <v/>
      </c>
    </row>
    <row r="9" spans="1:6" x14ac:dyDescent="0.25">
      <c r="C9" t="str">
        <f>IFERROR(VLOOKUP(B9,'Daftar Rekap Barang'!A8:$D$23,2,0),"")</f>
        <v/>
      </c>
      <c r="E9" t="str">
        <f>IFERROR(VLOOKUP(B9,'Daftar Rekap Barang'!$A$1:$D$23,3,0),"")</f>
        <v/>
      </c>
      <c r="F9" t="str">
        <f>IFERROR(VLOOKUP(B9,'Daftar Rekap Barang'!A8:D30,4,0),"")</f>
        <v/>
      </c>
    </row>
    <row r="10" spans="1:6" x14ac:dyDescent="0.25">
      <c r="C10" t="str">
        <f>IFERROR(VLOOKUP(B10,'Daftar Rekap Barang'!A9:$D$23,2,0),"")</f>
        <v/>
      </c>
      <c r="E10" t="str">
        <f>IFERROR(VLOOKUP(B10,'Daftar Rekap Barang'!$A$1:$D$23,3,0),"")</f>
        <v/>
      </c>
      <c r="F10" t="str">
        <f>IFERROR(VLOOKUP(B10,'Daftar Rekap Barang'!A9:D31,4,0),"")</f>
        <v/>
      </c>
    </row>
    <row r="11" spans="1:6" x14ac:dyDescent="0.25">
      <c r="C11" t="str">
        <f>IFERROR(VLOOKUP(B11,'Daftar Rekap Barang'!A10:$D$23,2,0),"")</f>
        <v/>
      </c>
      <c r="E11" t="str">
        <f>IFERROR(VLOOKUP(B11,'Daftar Rekap Barang'!$A$1:$D$23,3,0),"")</f>
        <v/>
      </c>
      <c r="F11" t="str">
        <f>IFERROR(VLOOKUP(B11,'Daftar Rekap Barang'!A10:D32,4,0),"")</f>
        <v/>
      </c>
    </row>
    <row r="12" spans="1:6" x14ac:dyDescent="0.25">
      <c r="C12" t="str">
        <f>IFERROR(VLOOKUP(B12,'Daftar Rekap Barang'!A11:$D$23,2,0),"")</f>
        <v/>
      </c>
      <c r="E12" t="str">
        <f>IFERROR(VLOOKUP(B12,'Daftar Rekap Barang'!$A$1:$D$23,3,0),"")</f>
        <v/>
      </c>
      <c r="F12" t="str">
        <f>IFERROR(VLOOKUP(B12,'Daftar Rekap Barang'!A11:D33,4,0),"")</f>
        <v/>
      </c>
    </row>
    <row r="13" spans="1:6" x14ac:dyDescent="0.25">
      <c r="C13" t="str">
        <f>IFERROR(VLOOKUP(B13,'Daftar Rekap Barang'!A12:$D$23,2,0),"")</f>
        <v/>
      </c>
      <c r="E13" t="str">
        <f>IFERROR(VLOOKUP(B13,'Daftar Rekap Barang'!$A$1:$D$23,3,0),"")</f>
        <v/>
      </c>
      <c r="F13" t="str">
        <f>IFERROR(VLOOKUP(B13,'Daftar Rekap Barang'!A12:D34,4,0),"")</f>
        <v/>
      </c>
    </row>
    <row r="14" spans="1:6" x14ac:dyDescent="0.25">
      <c r="C14" t="str">
        <f>IFERROR(VLOOKUP(B14,'Daftar Rekap Barang'!A13:$D$23,2,0),"")</f>
        <v/>
      </c>
      <c r="E14" t="str">
        <f>IFERROR(VLOOKUP(B14,'Daftar Rekap Barang'!$A$1:$D$23,3,0),"")</f>
        <v/>
      </c>
      <c r="F14" t="str">
        <f>IFERROR(VLOOKUP(B14,'Daftar Rekap Barang'!A13:D35,4,0),"")</f>
        <v/>
      </c>
    </row>
    <row r="15" spans="1:6" x14ac:dyDescent="0.25">
      <c r="C15" t="str">
        <f>IFERROR(VLOOKUP(B15,'Daftar Rekap Barang'!A14:$D$23,2,0),"")</f>
        <v/>
      </c>
      <c r="E15" t="str">
        <f>IFERROR(VLOOKUP(B15,'Daftar Rekap Barang'!$A$1:$D$23,3,0),"")</f>
        <v/>
      </c>
      <c r="F15" t="str">
        <f>IFERROR(VLOOKUP(B15,'Daftar Rekap Barang'!A14:D36,4,0),"")</f>
        <v/>
      </c>
    </row>
    <row r="16" spans="1:6" x14ac:dyDescent="0.25">
      <c r="C16" t="str">
        <f>IFERROR(VLOOKUP(B16,'Daftar Rekap Barang'!A15:$D$23,2,0),"")</f>
        <v/>
      </c>
      <c r="E16" t="str">
        <f>IFERROR(VLOOKUP(B16,'Daftar Rekap Barang'!$A$1:$D$23,3,0),"")</f>
        <v/>
      </c>
      <c r="F16" t="str">
        <f>IFERROR(VLOOKUP(B16,'Daftar Rekap Barang'!A15:D37,4,0),"")</f>
        <v/>
      </c>
    </row>
    <row r="17" spans="3:6" x14ac:dyDescent="0.25">
      <c r="C17" t="str">
        <f>IFERROR(VLOOKUP(B17,'Daftar Rekap Barang'!A16:$D$23,2,0),"")</f>
        <v/>
      </c>
      <c r="E17" t="str">
        <f>IFERROR(VLOOKUP(B17,'Daftar Rekap Barang'!$A$1:$D$23,3,0),"")</f>
        <v/>
      </c>
      <c r="F17" t="str">
        <f>IFERROR(VLOOKUP(B17,'Daftar Rekap Barang'!A16:D38,4,0),"")</f>
        <v/>
      </c>
    </row>
    <row r="18" spans="3:6" x14ac:dyDescent="0.25">
      <c r="C18" t="str">
        <f>IFERROR(VLOOKUP(B18,'Daftar Rekap Barang'!A17:$D$23,2,0),"")</f>
        <v/>
      </c>
      <c r="E18" t="str">
        <f>IFERROR(VLOOKUP(B18,'Daftar Rekap Barang'!$A$1:$D$23,3,0),"")</f>
        <v/>
      </c>
      <c r="F18" t="str">
        <f>IFERROR(VLOOKUP(B18,'Daftar Rekap Barang'!A17:D39,4,0),"")</f>
        <v/>
      </c>
    </row>
    <row r="19" spans="3:6" x14ac:dyDescent="0.25">
      <c r="C19" t="str">
        <f>IFERROR(VLOOKUP(B19,'Daftar Rekap Barang'!A18:$D$23,2,0),"")</f>
        <v/>
      </c>
      <c r="E19" t="str">
        <f>IFERROR(VLOOKUP(B19,'Daftar Rekap Barang'!$A$1:$D$23,3,0),"")</f>
        <v/>
      </c>
      <c r="F19" t="str">
        <f>IFERROR(VLOOKUP(B19,'Daftar Rekap Barang'!A18:D40,4,0),"")</f>
        <v/>
      </c>
    </row>
    <row r="20" spans="3:6" x14ac:dyDescent="0.25">
      <c r="C20" t="str">
        <f>IFERROR(VLOOKUP(B20,'Daftar Rekap Barang'!A19:$D$23,2,0),"")</f>
        <v/>
      </c>
      <c r="E20" t="str">
        <f>IFERROR(VLOOKUP(B20,'Daftar Rekap Barang'!$A$1:$D$23,3,0),"")</f>
        <v/>
      </c>
      <c r="F20" t="str">
        <f>IFERROR(VLOOKUP(B20,'Daftar Rekap Barang'!A19:D41,4,0),"")</f>
        <v/>
      </c>
    </row>
  </sheetData>
  <sheetProtection algorithmName="SHA-512" hashValue="1PH6/j0dFB/udFBktM1hrHgNaLbTIB4zbIMBRuKwWV3/ounW/ulAuOuuaUzIZv7MNBSIPG9z7HIxM+u02WH4CA==" saltValue="huAqppFrqNQC5TzoTplvN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Daftar Rekap Barang</vt:lpstr>
      <vt:lpstr>Dashboard</vt:lpstr>
      <vt:lpstr>Barang Masuk</vt:lpstr>
      <vt:lpstr>Barang Keluar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Winarto Panai</dc:creator>
  <cp:lastModifiedBy>Winarto Panai</cp:lastModifiedBy>
  <dcterms:created xsi:type="dcterms:W3CDTF">2026-02-23T12:51:23Z</dcterms:created>
  <dcterms:modified xsi:type="dcterms:W3CDTF">2026-03-24T05:03:41Z</dcterms:modified>
</cp:coreProperties>
</file>